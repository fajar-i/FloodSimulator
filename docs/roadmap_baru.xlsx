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My project\docs\"/>
    </mc:Choice>
  </mc:AlternateContent>
  <xr:revisionPtr revIDLastSave="0" documentId="13_ncr:1_{A2DB971F-0ABA-4CE9-BE34-A9642962E7C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shboard" sheetId="1" r:id="rId1"/>
    <sheet name="FAJARI" sheetId="2" r:id="rId2"/>
    <sheet name="ALVIN" sheetId="3" r:id="rId3"/>
    <sheet name="SYUKRI" sheetId="4" r:id="rId4"/>
    <sheet name="HAMDI" sheetId="5" r:id="rId5"/>
    <sheet name="DOSB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10" i="1" l="1"/>
  <c r="C10" i="1"/>
  <c r="D10" i="1"/>
  <c r="F8" i="1"/>
  <c r="F9" i="1"/>
  <c r="G9" i="1" s="1"/>
  <c r="B10" i="1"/>
  <c r="F7" i="1"/>
  <c r="G7" i="1" s="1"/>
  <c r="F6" i="1"/>
  <c r="G6" i="1" s="1"/>
  <c r="F5" i="1"/>
  <c r="G8" i="1" l="1"/>
  <c r="G5" i="1"/>
  <c r="F10" i="1"/>
  <c r="G10" i="1" s="1"/>
</calcChain>
</file>

<file path=xl/sharedStrings.xml><?xml version="1.0" encoding="utf-8"?>
<sst xmlns="http://schemas.openxmlformats.org/spreadsheetml/2006/main" count="124" uniqueCount="103">
  <si>
    <t>DEWAN BENGAWAN - ROADMAP KANBAN DASHBOARD</t>
  </si>
  <si>
    <t>STATISTIK AGREGAT PER ANGGOTA TIM</t>
  </si>
  <si>
    <t>Anggota Tim</t>
  </si>
  <si>
    <t>TO DO</t>
  </si>
  <si>
    <t>DOING</t>
  </si>
  <si>
    <t>DONE</t>
  </si>
  <si>
    <t>VERIFIED</t>
  </si>
  <si>
    <t>TOTAL TUGAS</t>
  </si>
  <si>
    <t>% SELESAI</t>
  </si>
  <si>
    <t>FAJARI</t>
  </si>
  <si>
    <t>ALVIN</t>
  </si>
  <si>
    <t>SYUKRI</t>
  </si>
  <si>
    <t>HAMDI</t>
  </si>
  <si>
    <t>DOSBING</t>
  </si>
  <si>
    <t>TOTAL</t>
  </si>
  <si>
    <t>CATATAN &amp; ALUR KERJA KANBAN</t>
  </si>
  <si>
    <t>1. Setiap anggota tim memiliki sheet Kanban Board sendiri dengan 4 kolom status:
   - TODO: Tugas yang belum mulai dikerjakan.
   - DOING: Tugas yang sedang aktif dikerjakan.
   - DONE: Tugas yang sudah selesai diimplementasikan.
   - VERIFIED: Tugas yang sudah diuji dan diverifikasi oleh tim/ketua/dosbing.
2. Ringkasan statistik di atas menggunakan live formula Excel dan akan otomatis ter-update.
3. Laporan ini disinkronkan dengan dokumen 'docs/roadmap_baru.md'.</t>
  </si>
  <si>
    <t>PERSONAL KANBAN BOARD - FAJARI</t>
  </si>
  <si>
    <t>TODO</t>
  </si>
  <si>
    <t>[Ext. Relations]
[FAJ-01] Kirim email resmi ke minimal 4 SMA target mitra
Est: Minggu 1-2</t>
  </si>
  <si>
    <t>[Ext. Relations]
[FAJ-02] Hubungi sekretariat MGMP Geografi kota/provinsi untuk koordinasi
Est: Minggu 1-2</t>
  </si>
  <si>
    <t>[Ext. Relations]
[FAJ-03] Kunci komitmen dari minimal 2 SMA sebagai lokasi pilot test
Est: Minggu 3-4</t>
  </si>
  <si>
    <t>[Ext. Relations]
[FAJ-04] Minta surat dukungan tertulis dari MGMP Geografi atau minimal 1 guru senior
Est: Minggu 3-4</t>
  </si>
  <si>
    <t>[Legal]
[FAJ-05] Ajukan pendaftaran HKI Program Komputer Dewan Bengawan ke sentra HKI kampus
Est: Minggu 1-2</t>
  </si>
  <si>
    <t>[Legal]
[FAJ-06] Audit lisensi aset eksternal (Kenney CC0, SFX/audio) untuk diisikan ke form disclosure
Est: Minggu 1-2</t>
  </si>
  <si>
    <t>[Legal]
[FAJ-07] Siapkan dokumen fisik bermaterai 10.000 untuk Surat Pernyataan Keterangan Karya
Est: Minggu 3-4</t>
  </si>
  <si>
    <t>[Validation]
[FAJ-08] Bantu Syukri merumuskan skenario penugasan instrumen berpikir spasial-kritis
Est: Minggu 2-3</t>
  </si>
  <si>
    <t>[MarComm]
[FAJ-09] Berikan input konsep visual identity (palet warna, font, mood) ke Hamdi
Est: Minggu 1-2</t>
  </si>
  <si>
    <t>[Product]
[FAJ-10] Bantu Alvin melakukan playtest internal untuk mendeteksi bug visual/UX sebelum perekaman video
Est: Minggu 3-4</t>
  </si>
  <si>
    <t>[Content]
[FAJ-11] Bantu Syukri mereview keselarasan narasi proposal dengan visi produk
Est: Minggu 3-4</t>
  </si>
  <si>
    <t>[Ext. Relations]
[FAJ-12] Konfirmasi jadwal final pelaksanaan pilot test dengan 2 sekolah mitra
Est: Minggu 7-8</t>
  </si>
  <si>
    <t>[Ext. Relations]
[FAJ-13] Koordinasikan guru geografi senior dari sekolah mitra untuk menjadi *teacher consultant*
Est: Minggu 8-10</t>
  </si>
  <si>
    <t>[Ext. Relations]
[FAJ-14] Lakukan survei lab komputer sekolah (cek spek, install build game, atur layout)
Est: Minggu 9-10</t>
  </si>
  <si>
    <t>[Ext. Relations]
[FAJ-15] Lakukan briefing singkat langkah-langkah pilot test kepada guru pendamping
Est: Minggu 10</t>
  </si>
  <si>
    <t>[Legal]
[FAJ-17] Dapatkan Bukti Pendaftaran Resmi / Surat Pencatatan Ciptaan untuk dilampirkan di Laporan Akhir
Est: Minggu 14-16</t>
  </si>
  <si>
    <t>[Validation]
[FAJ-18] Bantu Syukri mengawasi siswa selama sesi gameplay dan mengumpulkan berkas pre-post test
Est: Minggu 11-13</t>
  </si>
  <si>
    <t>PERSONAL KANBAN BOARD - ALVIN</t>
  </si>
  <si>
    <t>[Product]
[ALV-01] Setup CI/CD ringan menggunakan GitHub Actions untuk verifikasi build
Est: Minggu 1-2</t>
  </si>
  <si>
    <t>[Product]
[ALV-13] Integrasi Budget System ke UI &amp; Sinkronisasi Game Loop penuh — Logika budget dasar sudah aktif di [ZoneController.cs](file:///c:/Users/user/My%20project/Assets/ZoneController/ZoneController.cs#L112-L119) tapi belum terhubung ke HUD</t>
  </si>
  <si>
    <t>[Product]
[ALV-15] Refactor codebase: bersihkan dead code, buat struktur folder konsisten (Standardisasi [VoxelID.cs](file:///c:/Users/user/My%20project/Assets/GameManager/VoxelID.cs))</t>
  </si>
  <si>
    <t>[Product]
[ALV-02] Susun dokumen definitif *MVP scope-lock* sepanjang 1 halaman
Est: Minggu 1-2</t>
  </si>
  <si>
    <t>[Product]
[ALV-14] 4-Cycle Game Loop — State machine dasar ada di [GameManager.cs](file:///c:/Users/user/My%20project/Assets/GameManager/GameManager.cs), transisi otomatis Plan -&gt; Build -&gt; Simulate -&gt; Harvest sedang disinkronisasikan</t>
  </si>
  <si>
    <t>[Product]
[ALV-16] Polish prototipe game untuk video pengembangan — pastikan minimal siklus *plan → simulate → harvest* berjalan lancar (Core loop fixes)</t>
  </si>
  <si>
    <t>[Product]
[ALV-03] Siapkan stress test internal awal (FPS, latensi) untuk klaim performa di proposal
Est: Minggu 3-4</t>
  </si>
  <si>
    <t>[Product]
[ALV-17] Selesaikan bug-fix kritis dan perbaikan UX paling kasar (Off-by-one loops, double coroutines, chunk boundary seams)</t>
  </si>
  <si>
    <t>[Product - Core]
[ALV-04] Buat fungsionalitas 4 kartu kebijakan dasar (2 modern + 2 kearifan lokal)
Est: Minggu 7-8</t>
  </si>
  <si>
    <t>[Product - Core]
[ALV-18] Implementasi 5 zona painting brush dan procgen bangunan ([ZoneController.cs](file:///c:/Users/user/My%20project/Assets/ZoneController/ZoneController.cs) &amp; [CityAutoBuilder.cs](file:///c:/Users/user/My%20project/Assets/CityRendererSystem/CityAutoBuilder.cs))</t>
  </si>
  <si>
    <t>[Product - Advanced]
[ALV-05] Implementasikan sumbu mekanik reputasi × pendidikan publik
Est: Minggu 9-10</t>
  </si>
  <si>
    <t>[Product - Core]
[ALV-19] Implementasi simulasi aliran air Cellular Automata via Job System + Burst compiler ([WaterSimulationSystem.cs](file:///c:/Users/user/My%20project/Assets/WaterSimulation/WaterSimulationSystem.cs) &amp; [WaterSimulationJob.cs](file:///c:/Users/user/My%20project/Assets/WaterSimulation/WaterSimulationJob.cs))</t>
  </si>
  <si>
    <t>[Product - Advanced]
[ALV-06] Ekspansi deck kebijakan hingga 10-12 kartu fungsional
Est: Minggu 9-11</t>
  </si>
  <si>
    <t>[Product - Advanced]
[ALV-07] Buat layar Laporan Akhir game, refleksi tertulis, dan fitur ekspor gambar peta
Est: Minggu 11-12</t>
  </si>
  <si>
    <t>[Product - Iteration]
[ALV-08] Lakukan perbaikan game (v2) berdasarkan temuan bug dari Pilot Sekolah A
Est: Minggu 12</t>
  </si>
  <si>
    <t>[Product - Finalization]
[ALV-09] Buat build v3 final pasca-pilot Sekolah B
Est: Minggu 14</t>
  </si>
  <si>
    <t>[Product - Finalization]
[ALV-10] Lakukan uji coba build pada laptop low-end / laptop kelas pelajar
Est: Minggu 14</t>
  </si>
  <si>
    <t>[Product - Rehearsal]
[ALV-11] Siapkan skenario demo interaktif langsung di depan juri
Est: Minggu 15-18</t>
  </si>
  <si>
    <t>[Product]
[ALV-12] Dampingi Fajari saat instalasi game di lab komputer sekolah mitra
Est: Minggu 9-10</t>
  </si>
  <si>
    <t>PERSONAL KANBAN BOARD - SYUKRI</t>
  </si>
  <si>
    <t>[Validation]
[SYU-01] Rancang draf awal Rubrik Berpikir Spasial-Kritis (v1) beserta instrumennya
Est: Minggu 1-2</t>
  </si>
  <si>
    <t>[Validation]
[SYU-02] Identifikasi 2 dosen geografi/ahli media untuk validasi rubrik
Est: Minggu 1-2</t>
  </si>
  <si>
    <t>[Validation]
[SYU-03] Buat draf kerangka pre-post test (v1)
Est: Minggu 1-2</t>
  </si>
  <si>
    <t>[Validation]
[SYU-04] Perbarui rubrik ke versi v2 setelah mendapat masukan awal dari validator
Est: Minggu 3-4</t>
  </si>
  <si>
    <t>[Validation]
[SYU-05] Rumuskan 3–5 butir pertanyaan kunci untuk pre-post test geografi
Est: Minggu 3-4</t>
  </si>
  <si>
    <t>[Content]
[SYU-06] Konversi draft proposal mentah ke dalam format &amp; suara tim
Est: Minggu 1-2</t>
  </si>
  <si>
    <t>[Content]
[SYU-07] List minimal 30+ referensi ilmiah untuk kebutuhan kutipan proposal
Est: Minggu 1-2</t>
  </si>
  <si>
    <t>[Content]
[SYU-08] Lengkapi 23 kutipan ilmiah penting (BNPB, CP Geografi Fase F, Feng dkk., Kolb, ADDIE)
Est: Minggu 3-4</t>
  </si>
  <si>
    <t>[Content]
[SYU-09] Rancang diagram alur sistem dan screenshot game (~8 gambar) untuk disisipkan ke proposal
Est: Minggu 3-4</t>
  </si>
  <si>
    <t>[Content]
[SYU-10] Buat tabel anggaran (sesuai ketentuan LIDM) dan tabel jadwal kegiatan
Est: Minggu 3-4</t>
  </si>
  <si>
    <t>[Validation]
[SYU-12] Finalisasi Rubrik Berpikir Spasial-Kritis v3 dengan validasi resmi 2 ahli
Est: Minggu 5-6</t>
  </si>
  <si>
    <t>[Validation]
[SYU-13] Susun rencana pembelajaran (RPP) geografi 60 menit terintegrasi Dewan Bengawan
Est: Minggu 7-8</t>
  </si>
  <si>
    <t>[Validation]
[SYU-14] Cetak handout siswa, lembar refleksi, dan kuesioner SUS (System Usability Scale)
Est: Minggu 9-10</t>
  </si>
  <si>
    <t>[Validation]
[SYU-15] Pimpin pelaksanaan Pilot 1 di Sekolah A (30+ siswa)
Est: Minggu 11</t>
  </si>
  <si>
    <t>[Validation]
[SYU-16] Analisis data pre-post test dan SUS Pilot 1
Est: Minggu 12</t>
  </si>
  <si>
    <t>[Validation]
[SYU-17] Pimpin pelaksanaan Pilot 2 di Sekolah B menggunakan game build v2
Est: Minggu 13</t>
  </si>
  <si>
    <t>[Validation]
[SYU-18] Olah data statistik (uji-t berpasangan, p&lt;0.05) dan susun bab hasil penelitian
Est: Minggu 14</t>
  </si>
  <si>
    <t>[Content]
[SYU-19] Tulis teks edukasi &amp; konsekuensi mekanik untuk 10-12 kartu kebijakan
Est: Minggu 5-8</t>
  </si>
  <si>
    <t>[Content]
[SYU-20] Mulai menulis draf artikel ilmiah target Sinta 3-4 (Pendahuluan &amp; Metode)
Est: Minggu 6-8</t>
  </si>
  <si>
    <t>[Content]
[SYU-21] Lengkapi artikel ilmiah dengan data temuan pilot test dan analisis statistik
Est: Minggu 13-15</t>
  </si>
  <si>
    <t>[Content]
[SYU-22] Tulis Laporan Akhir LIDM secara utuh &amp; pastikan uji Turnitin ≤25%
Est: Minggu 14-18</t>
  </si>
  <si>
    <t>PERSONAL KANBAN BOARD - HAMDI</t>
  </si>
  <si>
    <t>[MarComm]
[HAM-01] Buat akun Instagram resmi tim, atur bio, sorotan, dan branding awal
Est: Minggu 1-2</t>
  </si>
  <si>
    <t>[MarComm]
[HAM-02] Rancang draf panduan identitas visual (palet warna, font, mood)
Est: Minggu 1-2</t>
  </si>
  <si>
    <t>[MarComm]
[HAM-03] Produksi Video Pengembangan ≤3 menit (storyboard → syuting B-roll tim &amp; gameplay → voice-over → edit &amp; subtitle)
Est: Minggu 3-4</t>
  </si>
  <si>
    <t>[MarComm]
[HAM-04] Unggah video ke YouTube dengan format penamaan resmi LIDM 2026
Est: Minggu 4</t>
  </si>
  <si>
    <t>[MarComm]
[HAM-05] Kelola konten media sosial (BTS, pengenalan anggota tim, dev log proposal)
Est: Minggu 3-4</t>
  </si>
  <si>
    <t>[MarComm]
[HAM-06] Rancang dan buat 5 model 3D Bespoke Hero Indonesia (Rumah Panggung, Lumbung Padi, Pura Subak, Sengkedan, Pasar Tradisional) di Blender
Est: Minggu 5-8</t>
  </si>
  <si>
    <t>[MarComm]
[HAM-07] Buat video log (dev log) internal mingguan berdurasi ~5 menit
Est: Minggu 5-12</t>
  </si>
  <si>
    <t>[MarComm]
[HAM-08] Ambil footage video &amp; foto berkualitas tinggi selama pelaksanaan Pilot Test 1 &amp; 2
Est: Minggu 11-13</t>
  </si>
  <si>
    <t>[MarComm]
[HAM-09] Produksi Video Karya Akhir 100% fungsional dengan testimoni guru/siswa
Est: Minggu 14-16</t>
  </si>
  <si>
    <t>[MarComm]
[HAM-10] Rancang slide presentasi final (PDF, maks 8MB) dengan visual yang memukau
Est: Minggu 15-17</t>
  </si>
  <si>
    <t>[MarComm]
[HAM-11] Publikasikan press kit penutupan di Instagram (testimoni guru, data kenaikan pre-post test)
Est: Minggu 17-18</t>
  </si>
  <si>
    <t>[Product]
[HAM-12] Integrasikan aset 3D hero buatan sendiri ke dalam project Unity Alvin
Est: Minggu 8-9</t>
  </si>
  <si>
    <t>PERSONAL KANBAN BOARD - DOSBING</t>
  </si>
  <si>
    <t>[Legal]
[DOS-01] Hubungkan tim dengan sentra HKI kampus untuk mempercepat pendaftaran
Est: Minggu 1-2</t>
  </si>
  <si>
    <t>[Content]
[DOS-02] Lakukan review akhir (proofread) proposal secara komprehensif
Est: Minggu 4</t>
  </si>
  <si>
    <t>[Admin]
[DOS-03] Tandatangani lembar pengesahan proposal
Est: Minggu 4</t>
  </si>
  <si>
    <t>[Legal/Admin]
[DOS-04] Membantu eskalasi pendaftaran HKI lewat birokrasi kampus jika ada hambatan
Est: Minggu 8-12</t>
  </si>
  <si>
    <t>[Content]
[DOS-05] Review dan berikan feedback draf artikel ilmiah Sinta 3-4 sebelum dikirim
Est: Minggu 12-14</t>
  </si>
  <si>
    <t>[Content]
[DOS-06] Review draf Laporan Akhir LIDM
Est: Minggu 15-16</t>
  </si>
  <si>
    <t>[Presentation]
[DOS-07] Menjadi juri simulasi presentasi tim dan memberikan Q&amp;A feedback
Est: Minggu 16-18</t>
  </si>
  <si>
    <t>OPSIONAL</t>
  </si>
  <si>
    <t>FINAL</t>
  </si>
  <si>
    <t>BIKIN MOCKUP UI/UX DAN IMPLEMENTASI</t>
  </si>
  <si>
    <t>[Validation]
[SYU-13] Bantu syukri Susun rencana pembelajaran (RPP) geografi 60 menit terintegrasi Dewan Bengawan
Est: Minggu 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</si>
</sst>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0"/>
      <color rgb="FF333333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9"/>
      <color rgb="FF555555"/>
      <name val="Arial"/>
    </font>
    <font>
      <b/>
      <sz val="10"/>
      <color rgb="FF595959"/>
      <name val="Arial"/>
    </font>
    <font>
      <b/>
      <sz val="10"/>
      <color rgb="FF7F6000"/>
      <name val="Arial"/>
    </font>
    <font>
      <b/>
      <sz val="10"/>
      <color rgb="FF375623"/>
      <name val="Arial"/>
    </font>
    <font>
      <b/>
      <sz val="10"/>
      <color rgb="FF1F4E79"/>
      <name val="Arial"/>
    </font>
    <font>
      <sz val="9"/>
      <color rgb="FF444444"/>
      <name val="Arial"/>
    </font>
    <font>
      <b/>
      <sz val="9"/>
      <color rgb="FF7F6000"/>
      <name val="Arial"/>
    </font>
    <font>
      <sz val="9"/>
      <color rgb="FF375623"/>
      <name val="Arial"/>
    </font>
    <font>
      <sz val="11"/>
      <color theme="1"/>
      <name val="Arial"/>
      <family val="2"/>
    </font>
    <font>
      <sz val="9"/>
      <color rgb="FF44444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AFAFA"/>
      </patternFill>
    </fill>
    <fill>
      <patternFill patternType="solid">
        <fgColor rgb="FFFFFDF2"/>
      </patternFill>
    </fill>
    <fill>
      <patternFill patternType="solid">
        <fgColor rgb="FFF2FBF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11" borderId="0" xfId="0" applyFill="1" applyAlignment="1">
      <alignment horizontal="center"/>
    </xf>
    <xf numFmtId="0" fontId="0" fillId="12" borderId="0" xfId="0" applyFont="1" applyFill="1" applyAlignment="1">
      <alignment horizontal="center"/>
    </xf>
    <xf numFmtId="0" fontId="14" fillId="12" borderId="1" xfId="0" applyFont="1" applyFill="1" applyBorder="1" applyAlignment="1">
      <alignment horizontal="center" vertical="top" wrapText="1"/>
    </xf>
    <xf numFmtId="0" fontId="13" fillId="10" borderId="0" xfId="0" applyFont="1" applyFill="1" applyBorder="1" applyAlignment="1">
      <alignment horizontal="left" vertical="top" wrapText="1"/>
    </xf>
    <xf numFmtId="0" fontId="15" fillId="8" borderId="1" xfId="0" applyFont="1" applyFill="1" applyBorder="1" applyAlignment="1">
      <alignment horizontal="left" vertical="top" wrapText="1"/>
    </xf>
    <xf numFmtId="0" fontId="0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sqref="A1:G1"/>
    </sheetView>
  </sheetViews>
  <sheetFormatPr defaultRowHeight="14.4" x14ac:dyDescent="0.3"/>
  <cols>
    <col min="1" max="1" width="25" customWidth="1"/>
    <col min="2" max="7" width="18" customWidth="1"/>
  </cols>
  <sheetData>
    <row r="1" spans="1:7" ht="40.049999999999997" customHeight="1" x14ac:dyDescent="0.3">
      <c r="A1" s="20" t="s">
        <v>0</v>
      </c>
      <c r="B1" s="18"/>
      <c r="C1" s="18"/>
      <c r="D1" s="18"/>
      <c r="E1" s="18"/>
      <c r="F1" s="18"/>
      <c r="G1" s="18"/>
    </row>
    <row r="3" spans="1:7" ht="24" customHeight="1" x14ac:dyDescent="0.3">
      <c r="A3" s="19" t="s">
        <v>1</v>
      </c>
      <c r="B3" s="18"/>
      <c r="C3" s="18"/>
      <c r="D3" s="18"/>
      <c r="E3" s="18"/>
      <c r="F3" s="18"/>
      <c r="G3" s="18"/>
    </row>
    <row r="4" spans="1:7" x14ac:dyDescent="0.3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s="3" t="s">
        <v>9</v>
      </c>
      <c r="B5" s="4">
        <f>COUNTA(FAJARI!A7:A89)</f>
        <v>14</v>
      </c>
      <c r="C5" s="4">
        <f>COUNTA(FAJARI!B4:B98)</f>
        <v>0</v>
      </c>
      <c r="D5" s="4">
        <f>COUNTA(FAJARI!C4:C98)</f>
        <v>0</v>
      </c>
      <c r="E5" s="4">
        <f>COUNTA(FAJARI!D4:D98)</f>
        <v>0</v>
      </c>
      <c r="F5" s="5">
        <f>SUM(B5:E5)</f>
        <v>14</v>
      </c>
      <c r="G5" s="6">
        <f t="shared" ref="G5:G10" si="0">IF(F5&gt;0, (D5+E5)/F5, 0)</f>
        <v>0</v>
      </c>
    </row>
    <row r="6" spans="1:7" x14ac:dyDescent="0.3">
      <c r="A6" s="3" t="s">
        <v>10</v>
      </c>
      <c r="B6" s="4">
        <f>COUNTA(ALVIN!A4:A103)</f>
        <v>15</v>
      </c>
      <c r="C6" s="4">
        <f>COUNTA(ALVIN!B4:B102)</f>
        <v>2</v>
      </c>
      <c r="D6" s="4">
        <f>COUNTA(ALVIN!C4:C102)</f>
        <v>5</v>
      </c>
      <c r="E6" s="4">
        <f>COUNTA(ALVIN!D4:D102)</f>
        <v>0</v>
      </c>
      <c r="F6" s="5">
        <f>SUM(B6:E6)</f>
        <v>22</v>
      </c>
      <c r="G6" s="6">
        <f t="shared" si="0"/>
        <v>0.22727272727272727</v>
      </c>
    </row>
    <row r="7" spans="1:7" x14ac:dyDescent="0.3">
      <c r="A7" s="3" t="s">
        <v>11</v>
      </c>
      <c r="B7" s="4">
        <f>COUNTA(SYUKRI!A4:A98)</f>
        <v>20</v>
      </c>
      <c r="C7" s="4">
        <f>COUNTA(SYUKRI!B4:B97)</f>
        <v>0</v>
      </c>
      <c r="D7" s="4">
        <f>COUNTA(SYUKRI!C4:C97)</f>
        <v>0</v>
      </c>
      <c r="E7" s="4">
        <f>COUNTA(SYUKRI!D4:D97)</f>
        <v>0</v>
      </c>
      <c r="F7" s="5">
        <f>SUM(B7:E7)</f>
        <v>20</v>
      </c>
      <c r="G7" s="6">
        <f t="shared" si="0"/>
        <v>0</v>
      </c>
    </row>
    <row r="8" spans="1:7" x14ac:dyDescent="0.3">
      <c r="A8" s="3" t="s">
        <v>12</v>
      </c>
      <c r="B8" s="4">
        <f>COUNTA(HAMDI!A9:A98)</f>
        <v>11</v>
      </c>
      <c r="C8" s="4">
        <f>COUNTA(HAMDI!B4:B88)</f>
        <v>0</v>
      </c>
      <c r="D8" s="4">
        <f>COUNTA(HAMDI!C4:C88)</f>
        <v>0</v>
      </c>
      <c r="E8" s="4">
        <f>COUNTA(HAMDI!D4:D88)</f>
        <v>0</v>
      </c>
      <c r="F8" s="5">
        <f>SUM(B8:E8)</f>
        <v>11</v>
      </c>
      <c r="G8" s="6">
        <f t="shared" si="0"/>
        <v>0</v>
      </c>
    </row>
    <row r="9" spans="1:7" x14ac:dyDescent="0.3">
      <c r="A9" s="3" t="s">
        <v>13</v>
      </c>
      <c r="B9" s="4">
        <f>COUNTA(DOSBING!A4:A100)</f>
        <v>7</v>
      </c>
      <c r="C9" s="4">
        <f>COUNTA(DOSBING!B4:B100)</f>
        <v>0</v>
      </c>
      <c r="D9" s="4">
        <f>COUNTA(DOSBING!C4:C100)</f>
        <v>0</v>
      </c>
      <c r="E9" s="4">
        <f>COUNTA(DOSBING!D4:D100)</f>
        <v>0</v>
      </c>
      <c r="F9" s="5">
        <f>SUM(B9:E9)</f>
        <v>7</v>
      </c>
      <c r="G9" s="6">
        <f t="shared" si="0"/>
        <v>0</v>
      </c>
    </row>
    <row r="10" spans="1:7" x14ac:dyDescent="0.3">
      <c r="A10" s="7" t="s">
        <v>14</v>
      </c>
      <c r="B10" s="8">
        <f>SUM(B5:B9)</f>
        <v>67</v>
      </c>
      <c r="C10" s="8">
        <f>SUM(C5:C9)</f>
        <v>2</v>
      </c>
      <c r="D10" s="8">
        <f>SUM(D5:D9)</f>
        <v>5</v>
      </c>
      <c r="E10" s="8">
        <f>SUM(E5:E9)</f>
        <v>0</v>
      </c>
      <c r="F10" s="8">
        <f>SUM(F5:F9)</f>
        <v>74</v>
      </c>
      <c r="G10" s="9">
        <f t="shared" si="0"/>
        <v>6.7567567567567571E-2</v>
      </c>
    </row>
    <row r="12" spans="1:7" ht="24" customHeight="1" x14ac:dyDescent="0.3">
      <c r="A12" s="21" t="s">
        <v>15</v>
      </c>
      <c r="B12" s="18"/>
      <c r="C12" s="18"/>
      <c r="D12" s="18"/>
      <c r="E12" s="18"/>
      <c r="F12" s="18"/>
      <c r="G12" s="18"/>
    </row>
    <row r="13" spans="1:7" x14ac:dyDescent="0.3">
      <c r="A13" s="17" t="s">
        <v>16</v>
      </c>
      <c r="B13" s="18"/>
      <c r="C13" s="18"/>
      <c r="D13" s="18"/>
      <c r="E13" s="18"/>
      <c r="F13" s="18"/>
      <c r="G13" s="18"/>
    </row>
    <row r="14" spans="1:7" x14ac:dyDescent="0.3">
      <c r="A14" s="18"/>
      <c r="B14" s="18"/>
      <c r="C14" s="18"/>
      <c r="D14" s="18"/>
      <c r="E14" s="18"/>
      <c r="F14" s="18"/>
      <c r="G14" s="18"/>
    </row>
    <row r="15" spans="1:7" x14ac:dyDescent="0.3">
      <c r="A15" s="18"/>
      <c r="B15" s="18"/>
      <c r="C15" s="18"/>
      <c r="D15" s="18"/>
      <c r="E15" s="18"/>
      <c r="F15" s="18"/>
      <c r="G15" s="18"/>
    </row>
    <row r="16" spans="1:7" x14ac:dyDescent="0.3">
      <c r="A16" s="18"/>
      <c r="B16" s="18"/>
      <c r="C16" s="18"/>
      <c r="D16" s="18"/>
      <c r="E16" s="18"/>
      <c r="F16" s="18"/>
      <c r="G16" s="18"/>
    </row>
  </sheetData>
  <mergeCells count="4">
    <mergeCell ref="A13:G16"/>
    <mergeCell ref="A3:G3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opLeftCell="A2" workbookViewId="0">
      <selection activeCell="A4" sqref="A4"/>
    </sheetView>
  </sheetViews>
  <sheetFormatPr defaultRowHeight="14.4" x14ac:dyDescent="0.3"/>
  <cols>
    <col min="1" max="4" width="33" customWidth="1"/>
  </cols>
  <sheetData>
    <row r="1" spans="1:4" ht="34.950000000000003" customHeight="1" x14ac:dyDescent="0.3">
      <c r="A1" s="20" t="s">
        <v>17</v>
      </c>
      <c r="B1" s="18"/>
      <c r="C1" s="18"/>
      <c r="D1" s="18"/>
    </row>
    <row r="3" spans="1:4" ht="24" customHeight="1" x14ac:dyDescent="0.3">
      <c r="A3" s="10" t="s">
        <v>18</v>
      </c>
      <c r="B3" s="11" t="s">
        <v>4</v>
      </c>
      <c r="C3" s="12" t="s">
        <v>5</v>
      </c>
      <c r="D3" s="13" t="s">
        <v>6</v>
      </c>
    </row>
    <row r="4" spans="1:4" ht="75" customHeight="1" x14ac:dyDescent="0.3">
      <c r="A4" s="14" t="s">
        <v>24</v>
      </c>
    </row>
    <row r="5" spans="1:4" ht="75" customHeight="1" x14ac:dyDescent="0.3">
      <c r="A5" s="14" t="s">
        <v>65</v>
      </c>
    </row>
    <row r="6" spans="1:4" ht="75" customHeight="1" x14ac:dyDescent="0.3">
      <c r="A6" s="14" t="s">
        <v>25</v>
      </c>
    </row>
    <row r="7" spans="1:4" ht="75" customHeight="1" x14ac:dyDescent="0.3">
      <c r="A7" s="14" t="s">
        <v>27</v>
      </c>
    </row>
    <row r="8" spans="1:4" ht="75" customHeight="1" x14ac:dyDescent="0.3">
      <c r="A8" s="14" t="s">
        <v>28</v>
      </c>
    </row>
    <row r="9" spans="1:4" ht="75" customHeight="1" x14ac:dyDescent="0.3">
      <c r="A9" s="14" t="s">
        <v>81</v>
      </c>
    </row>
    <row r="10" spans="1:4" ht="24.6" customHeight="1" x14ac:dyDescent="0.3">
      <c r="A10" s="14" t="s">
        <v>29</v>
      </c>
    </row>
    <row r="11" spans="1:4" ht="75" customHeight="1" x14ac:dyDescent="0.3">
      <c r="A11" s="14" t="s">
        <v>82</v>
      </c>
    </row>
    <row r="12" spans="1:4" ht="75" customHeight="1" x14ac:dyDescent="0.3">
      <c r="A12" s="23" t="s">
        <v>100</v>
      </c>
    </row>
    <row r="13" spans="1:4" ht="75" customHeight="1" x14ac:dyDescent="0.3">
      <c r="A13" s="14" t="s">
        <v>84</v>
      </c>
    </row>
    <row r="14" spans="1:4" ht="75" customHeight="1" x14ac:dyDescent="0.3">
      <c r="A14" s="14" t="s">
        <v>87</v>
      </c>
    </row>
    <row r="15" spans="1:4" ht="75" customHeight="1" x14ac:dyDescent="0.3">
      <c r="A15" s="14" t="s">
        <v>88</v>
      </c>
    </row>
    <row r="16" spans="1:4" ht="75" customHeight="1" x14ac:dyDescent="0.3">
      <c r="A16" s="14" t="s">
        <v>31</v>
      </c>
    </row>
    <row r="17" spans="1:1" ht="75" customHeight="1" x14ac:dyDescent="0.3">
      <c r="A17" s="14" t="s">
        <v>32</v>
      </c>
    </row>
    <row r="18" spans="1:1" ht="75" customHeight="1" x14ac:dyDescent="0.3">
      <c r="A18" s="14" t="s">
        <v>33</v>
      </c>
    </row>
    <row r="19" spans="1:1" ht="75" customHeight="1" x14ac:dyDescent="0.3">
      <c r="A19" s="14" t="s">
        <v>34</v>
      </c>
    </row>
    <row r="20" spans="1:1" ht="68.400000000000006" x14ac:dyDescent="0.3">
      <c r="A20" s="14" t="s">
        <v>35</v>
      </c>
    </row>
  </sheetData>
  <mergeCells count="1">
    <mergeCell ref="A1:D1"/>
  </mergeCells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tabSelected="1" topLeftCell="A6" workbookViewId="0">
      <selection activeCell="A10" sqref="A10"/>
    </sheetView>
  </sheetViews>
  <sheetFormatPr defaultRowHeight="14.4" x14ac:dyDescent="0.3"/>
  <cols>
    <col min="1" max="4" width="33" customWidth="1"/>
  </cols>
  <sheetData>
    <row r="1" spans="1:4" ht="34.950000000000003" customHeight="1" x14ac:dyDescent="0.3">
      <c r="A1" s="20" t="s">
        <v>36</v>
      </c>
      <c r="B1" s="18"/>
      <c r="C1" s="18"/>
      <c r="D1" s="18"/>
    </row>
    <row r="3" spans="1:4" ht="24" customHeight="1" x14ac:dyDescent="0.3">
      <c r="A3" s="10" t="s">
        <v>18</v>
      </c>
      <c r="B3" s="11" t="s">
        <v>4</v>
      </c>
      <c r="C3" s="12" t="s">
        <v>5</v>
      </c>
      <c r="D3" s="13" t="s">
        <v>6</v>
      </c>
    </row>
    <row r="4" spans="1:4" ht="75" customHeight="1" x14ac:dyDescent="0.3">
      <c r="A4" s="14" t="s">
        <v>37</v>
      </c>
      <c r="B4" s="15" t="s">
        <v>38</v>
      </c>
      <c r="C4" s="16" t="s">
        <v>39</v>
      </c>
    </row>
    <row r="5" spans="1:4" ht="75" customHeight="1" x14ac:dyDescent="0.3">
      <c r="A5" s="14" t="s">
        <v>40</v>
      </c>
      <c r="B5" s="15" t="s">
        <v>41</v>
      </c>
      <c r="C5" s="16" t="s">
        <v>42</v>
      </c>
    </row>
    <row r="6" spans="1:4" ht="75" customHeight="1" x14ac:dyDescent="0.3">
      <c r="A6" s="14" t="s">
        <v>43</v>
      </c>
      <c r="C6" s="16" t="s">
        <v>44</v>
      </c>
    </row>
    <row r="7" spans="1:4" ht="75" customHeight="1" x14ac:dyDescent="0.3">
      <c r="A7" s="14" t="s">
        <v>45</v>
      </c>
      <c r="C7" s="16" t="s">
        <v>46</v>
      </c>
    </row>
    <row r="8" spans="1:4" ht="75" customHeight="1" x14ac:dyDescent="0.3">
      <c r="A8" s="14" t="s">
        <v>47</v>
      </c>
      <c r="C8" s="16" t="s">
        <v>48</v>
      </c>
    </row>
    <row r="9" spans="1:4" ht="75" customHeight="1" x14ac:dyDescent="0.3">
      <c r="A9" s="26" t="s">
        <v>101</v>
      </c>
      <c r="C9" s="25"/>
    </row>
    <row r="10" spans="1:4" ht="22.8" customHeight="1" x14ac:dyDescent="0.3">
      <c r="A10" s="27" t="s">
        <v>100</v>
      </c>
      <c r="C10" s="25"/>
    </row>
    <row r="11" spans="1:4" ht="75" customHeight="1" x14ac:dyDescent="0.3">
      <c r="A11" s="14" t="s">
        <v>90</v>
      </c>
    </row>
    <row r="12" spans="1:4" ht="75" customHeight="1" x14ac:dyDescent="0.3">
      <c r="A12" s="14" t="s">
        <v>49</v>
      </c>
    </row>
    <row r="13" spans="1:4" ht="75" customHeight="1" x14ac:dyDescent="0.3">
      <c r="A13" s="14" t="s">
        <v>50</v>
      </c>
    </row>
    <row r="14" spans="1:4" ht="75" customHeight="1" x14ac:dyDescent="0.3">
      <c r="A14" s="14" t="s">
        <v>51</v>
      </c>
    </row>
    <row r="15" spans="1:4" ht="75" customHeight="1" x14ac:dyDescent="0.3">
      <c r="A15" s="14" t="s">
        <v>52</v>
      </c>
    </row>
    <row r="16" spans="1:4" ht="75" customHeight="1" x14ac:dyDescent="0.3">
      <c r="A16" s="14" t="s">
        <v>53</v>
      </c>
    </row>
    <row r="17" spans="1:1" ht="75" customHeight="1" x14ac:dyDescent="0.3">
      <c r="A17" s="14" t="s">
        <v>54</v>
      </c>
    </row>
    <row r="18" spans="1:1" ht="57" x14ac:dyDescent="0.3">
      <c r="A18" s="14" t="s">
        <v>55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selection activeCell="A8" sqref="A8"/>
    </sheetView>
  </sheetViews>
  <sheetFormatPr defaultRowHeight="14.4" x14ac:dyDescent="0.3"/>
  <cols>
    <col min="1" max="4" width="33" customWidth="1"/>
  </cols>
  <sheetData>
    <row r="1" spans="1:4" ht="34.950000000000003" customHeight="1" x14ac:dyDescent="0.3">
      <c r="A1" s="20" t="s">
        <v>56</v>
      </c>
      <c r="B1" s="18"/>
      <c r="C1" s="18"/>
      <c r="D1" s="18"/>
    </row>
    <row r="3" spans="1:4" ht="24" customHeight="1" x14ac:dyDescent="0.3">
      <c r="A3" s="10" t="s">
        <v>18</v>
      </c>
      <c r="B3" s="11" t="s">
        <v>4</v>
      </c>
      <c r="C3" s="12" t="s">
        <v>5</v>
      </c>
      <c r="D3" s="13" t="s">
        <v>6</v>
      </c>
    </row>
    <row r="4" spans="1:4" ht="75" customHeight="1" x14ac:dyDescent="0.3">
      <c r="A4" s="14" t="s">
        <v>57</v>
      </c>
    </row>
    <row r="5" spans="1:4" ht="75" customHeight="1" x14ac:dyDescent="0.3">
      <c r="A5" s="14" t="s">
        <v>58</v>
      </c>
    </row>
    <row r="6" spans="1:4" ht="75" customHeight="1" x14ac:dyDescent="0.3">
      <c r="A6" s="14" t="s">
        <v>59</v>
      </c>
    </row>
    <row r="7" spans="1:4" ht="75" customHeight="1" x14ac:dyDescent="0.3">
      <c r="A7" s="14" t="s">
        <v>60</v>
      </c>
    </row>
    <row r="8" spans="1:4" ht="75" customHeight="1" x14ac:dyDescent="0.3">
      <c r="A8" s="14" t="s">
        <v>68</v>
      </c>
    </row>
    <row r="9" spans="1:4" ht="75" customHeight="1" x14ac:dyDescent="0.3">
      <c r="A9" s="14" t="s">
        <v>61</v>
      </c>
    </row>
    <row r="10" spans="1:4" ht="75" customHeight="1" x14ac:dyDescent="0.3">
      <c r="A10" s="14" t="s">
        <v>62</v>
      </c>
    </row>
    <row r="11" spans="1:4" ht="75" customHeight="1" x14ac:dyDescent="0.3">
      <c r="A11" s="14" t="s">
        <v>63</v>
      </c>
    </row>
    <row r="12" spans="1:4" ht="75" customHeight="1" x14ac:dyDescent="0.3">
      <c r="A12" s="14" t="s">
        <v>64</v>
      </c>
    </row>
    <row r="13" spans="1:4" ht="75" customHeight="1" x14ac:dyDescent="0.3">
      <c r="A13" s="14" t="s">
        <v>66</v>
      </c>
    </row>
    <row r="14" spans="1:4" ht="75" customHeight="1" x14ac:dyDescent="0.3">
      <c r="A14" s="14" t="s">
        <v>67</v>
      </c>
    </row>
    <row r="15" spans="1:4" ht="75" customHeight="1" x14ac:dyDescent="0.3">
      <c r="A15" s="14" t="s">
        <v>69</v>
      </c>
    </row>
    <row r="16" spans="1:4" ht="75" customHeight="1" x14ac:dyDescent="0.3">
      <c r="A16" s="14" t="s">
        <v>70</v>
      </c>
    </row>
    <row r="17" spans="1:1" ht="75" customHeight="1" x14ac:dyDescent="0.3">
      <c r="A17" s="14" t="s">
        <v>71</v>
      </c>
    </row>
    <row r="18" spans="1:1" ht="75" customHeight="1" x14ac:dyDescent="0.3">
      <c r="A18" s="14" t="s">
        <v>72</v>
      </c>
    </row>
    <row r="19" spans="1:1" ht="75" customHeight="1" x14ac:dyDescent="0.3">
      <c r="A19" s="14" t="s">
        <v>73</v>
      </c>
    </row>
    <row r="20" spans="1:1" ht="75" customHeight="1" x14ac:dyDescent="0.3">
      <c r="A20" s="14" t="s">
        <v>74</v>
      </c>
    </row>
    <row r="21" spans="1:1" ht="75" customHeight="1" x14ac:dyDescent="0.3">
      <c r="A21" s="14" t="s">
        <v>75</v>
      </c>
    </row>
    <row r="22" spans="1:1" ht="75" customHeight="1" x14ac:dyDescent="0.3">
      <c r="A22" s="14" t="s">
        <v>76</v>
      </c>
    </row>
    <row r="23" spans="1:1" ht="57" x14ac:dyDescent="0.3">
      <c r="A23" s="14" t="s">
        <v>77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topLeftCell="A6" workbookViewId="0">
      <selection activeCell="A5" sqref="A5"/>
    </sheetView>
  </sheetViews>
  <sheetFormatPr defaultRowHeight="14.4" x14ac:dyDescent="0.3"/>
  <cols>
    <col min="1" max="4" width="33" customWidth="1"/>
  </cols>
  <sheetData>
    <row r="1" spans="1:4" ht="34.950000000000003" customHeight="1" x14ac:dyDescent="0.3">
      <c r="A1" s="20" t="s">
        <v>78</v>
      </c>
      <c r="B1" s="18"/>
      <c r="C1" s="18"/>
      <c r="D1" s="18"/>
    </row>
    <row r="3" spans="1:4" ht="24" customHeight="1" x14ac:dyDescent="0.3">
      <c r="A3" s="10" t="s">
        <v>18</v>
      </c>
      <c r="B3" s="11" t="s">
        <v>4</v>
      </c>
      <c r="C3" s="12" t="s">
        <v>5</v>
      </c>
      <c r="D3" s="13" t="s">
        <v>6</v>
      </c>
    </row>
    <row r="4" spans="1:4" ht="75" customHeight="1" x14ac:dyDescent="0.3">
      <c r="A4" s="26" t="s">
        <v>102</v>
      </c>
    </row>
    <row r="5" spans="1:4" ht="75" customHeight="1" x14ac:dyDescent="0.3">
      <c r="A5" s="14" t="s">
        <v>19</v>
      </c>
    </row>
    <row r="6" spans="1:4" ht="75" customHeight="1" x14ac:dyDescent="0.3">
      <c r="A6" s="14" t="s">
        <v>21</v>
      </c>
    </row>
    <row r="7" spans="1:4" ht="75" customHeight="1" x14ac:dyDescent="0.3">
      <c r="A7" s="14" t="s">
        <v>22</v>
      </c>
    </row>
    <row r="8" spans="1:4" ht="68.400000000000006" x14ac:dyDescent="0.3">
      <c r="A8" s="14" t="s">
        <v>26</v>
      </c>
    </row>
    <row r="9" spans="1:4" ht="57" x14ac:dyDescent="0.3">
      <c r="A9" s="14" t="s">
        <v>83</v>
      </c>
    </row>
    <row r="10" spans="1:4" ht="57" x14ac:dyDescent="0.3">
      <c r="A10" s="14" t="s">
        <v>85</v>
      </c>
    </row>
    <row r="11" spans="1:4" ht="68.400000000000006" x14ac:dyDescent="0.3">
      <c r="A11" s="14" t="s">
        <v>86</v>
      </c>
    </row>
    <row r="12" spans="1:4" x14ac:dyDescent="0.3">
      <c r="A12" s="24" t="s">
        <v>100</v>
      </c>
    </row>
    <row r="13" spans="1:4" ht="68.400000000000006" x14ac:dyDescent="0.3">
      <c r="A13" s="14" t="s">
        <v>30</v>
      </c>
    </row>
    <row r="14" spans="1:4" ht="68.400000000000006" x14ac:dyDescent="0.3">
      <c r="A14" s="14" t="s">
        <v>23</v>
      </c>
    </row>
    <row r="15" spans="1:4" x14ac:dyDescent="0.3">
      <c r="A15" s="22" t="s">
        <v>99</v>
      </c>
    </row>
    <row r="16" spans="1:4" ht="57" x14ac:dyDescent="0.3">
      <c r="A16" s="14" t="s">
        <v>79</v>
      </c>
    </row>
    <row r="17" spans="1:1" ht="57" x14ac:dyDescent="0.3">
      <c r="A17" s="14" t="s">
        <v>80</v>
      </c>
    </row>
    <row r="18" spans="1:1" ht="68.400000000000006" x14ac:dyDescent="0.3">
      <c r="A18" s="14" t="s">
        <v>89</v>
      </c>
    </row>
    <row r="19" spans="1:1" ht="57" x14ac:dyDescent="0.3">
      <c r="A19" s="14" t="s">
        <v>20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A4" sqref="A4"/>
    </sheetView>
  </sheetViews>
  <sheetFormatPr defaultRowHeight="14.4" x14ac:dyDescent="0.3"/>
  <cols>
    <col min="1" max="4" width="33" customWidth="1"/>
  </cols>
  <sheetData>
    <row r="1" spans="1:4" ht="34.950000000000003" customHeight="1" x14ac:dyDescent="0.3">
      <c r="A1" s="20" t="s">
        <v>91</v>
      </c>
      <c r="B1" s="18"/>
      <c r="C1" s="18"/>
      <c r="D1" s="18"/>
    </row>
    <row r="3" spans="1:4" ht="24" customHeight="1" x14ac:dyDescent="0.3">
      <c r="A3" s="10" t="s">
        <v>18</v>
      </c>
      <c r="B3" s="11" t="s">
        <v>4</v>
      </c>
      <c r="C3" s="12" t="s">
        <v>5</v>
      </c>
      <c r="D3" s="13" t="s">
        <v>6</v>
      </c>
    </row>
    <row r="4" spans="1:4" ht="75" customHeight="1" x14ac:dyDescent="0.3">
      <c r="A4" s="14" t="s">
        <v>92</v>
      </c>
    </row>
    <row r="5" spans="1:4" ht="75" customHeight="1" x14ac:dyDescent="0.3">
      <c r="A5" s="14" t="s">
        <v>93</v>
      </c>
    </row>
    <row r="6" spans="1:4" ht="75" customHeight="1" x14ac:dyDescent="0.3">
      <c r="A6" s="14" t="s">
        <v>94</v>
      </c>
    </row>
    <row r="7" spans="1:4" ht="75" customHeight="1" x14ac:dyDescent="0.3">
      <c r="A7" s="14" t="s">
        <v>95</v>
      </c>
    </row>
    <row r="8" spans="1:4" ht="75" customHeight="1" x14ac:dyDescent="0.3">
      <c r="A8" s="14" t="s">
        <v>96</v>
      </c>
    </row>
    <row r="9" spans="1:4" ht="75" customHeight="1" x14ac:dyDescent="0.3">
      <c r="A9" s="14" t="s">
        <v>97</v>
      </c>
    </row>
    <row r="10" spans="1:4" ht="75" customHeight="1" x14ac:dyDescent="0.3">
      <c r="A10" s="14" t="s">
        <v>98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FAJARI</vt:lpstr>
      <vt:lpstr>ALVIN</vt:lpstr>
      <vt:lpstr>SYUKRI</vt:lpstr>
      <vt:lpstr>HAMDI</vt:lpstr>
      <vt:lpstr>DOSBING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Fajari Arkan</cp:lastModifiedBy>
  <dcterms:created xsi:type="dcterms:W3CDTF">2026-06-22T04:07:01Z</dcterms:created>
  <dcterms:modified xsi:type="dcterms:W3CDTF">2026-06-22T04:41:48Z</dcterms:modified>
</cp:coreProperties>
</file>